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h\Downloads\"/>
    </mc:Choice>
  </mc:AlternateContent>
  <xr:revisionPtr revIDLastSave="0" documentId="8_{4DC97F72-6D0B-465F-B5D9-E8FAF86C33CF}" xr6:coauthVersionLast="47" xr6:coauthVersionMax="47" xr10:uidLastSave="{00000000-0000-0000-0000-000000000000}"/>
  <bookViews>
    <workbookView xWindow="-110" yWindow="-110" windowWidth="19420" windowHeight="11500" xr2:uid="{CD7EDC3E-19E3-462F-813D-E453254B1B2E}"/>
  </bookViews>
  <sheets>
    <sheet name="Hoja1" sheetId="1" r:id="rId1"/>
  </sheets>
  <definedNames>
    <definedName name="_xlnm._FilterDatabase" localSheetId="0" hidden="1">Hoja1!$A$1:$J$31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4" i="1"/>
  <c r="A35" i="1"/>
  <c r="A36" i="1"/>
  <c r="A37" i="1"/>
  <c r="A38" i="1"/>
  <c r="A39" i="1"/>
  <c r="A40" i="1"/>
  <c r="A41" i="1"/>
  <c r="A42" i="1"/>
  <c r="A32" i="1"/>
  <c r="A22" i="1"/>
  <c r="A30" i="1"/>
  <c r="A2" i="1"/>
  <c r="A29" i="1"/>
  <c r="A10" i="1"/>
  <c r="A19" i="1"/>
  <c r="A14" i="1"/>
  <c r="A4" i="1"/>
  <c r="A23" i="1"/>
  <c r="A31" i="1"/>
  <c r="A12" i="1"/>
  <c r="A20" i="1"/>
  <c r="A26" i="1"/>
  <c r="A28" i="1"/>
  <c r="A27" i="1"/>
  <c r="A25" i="1"/>
  <c r="A24" i="1"/>
  <c r="A21" i="1"/>
  <c r="A17" i="1"/>
  <c r="A16" i="1"/>
  <c r="A15" i="1"/>
  <c r="A18" i="1"/>
  <c r="A11" i="1"/>
  <c r="A13" i="1"/>
  <c r="A9" i="1"/>
  <c r="A8" i="1"/>
  <c r="A7" i="1"/>
  <c r="A6" i="1"/>
  <c r="A5" i="1"/>
  <c r="A3" i="1"/>
</calcChain>
</file>

<file path=xl/sharedStrings.xml><?xml version="1.0" encoding="utf-8"?>
<sst xmlns="http://schemas.openxmlformats.org/spreadsheetml/2006/main" count="254" uniqueCount="149">
  <si>
    <t>#</t>
  </si>
  <si>
    <t>ID</t>
  </si>
  <si>
    <t xml:space="preserve">DIRECCION </t>
  </si>
  <si>
    <t>COLONIA</t>
  </si>
  <si>
    <t>MUNICIPIO</t>
  </si>
  <si>
    <t xml:space="preserve">ESTADO </t>
  </si>
  <si>
    <t>TOTAL</t>
  </si>
  <si>
    <t>LE70053</t>
  </si>
  <si>
    <t>OLIVAR DEL CONDE</t>
  </si>
  <si>
    <t>ALVARO OBREGON</t>
  </si>
  <si>
    <t>CDMX</t>
  </si>
  <si>
    <t>LE36011</t>
  </si>
  <si>
    <t>ANGEL REYES #11</t>
  </si>
  <si>
    <t>LOMAS DE PUERTA GRANDE</t>
  </si>
  <si>
    <t>AZCAPOTZALCO</t>
  </si>
  <si>
    <t>LE49916</t>
  </si>
  <si>
    <t>RANCHO SAN LORENZO 145 LT I MZ VI DEPTO. 2 EDIF. A ALMENDROS</t>
  </si>
  <si>
    <t>FRACCIONAMINETO LOS GIRASOLES TERCERA ETAPA</t>
  </si>
  <si>
    <t>COYOACAN</t>
  </si>
  <si>
    <t>LE10526</t>
  </si>
  <si>
    <t>CALZADA DE LA VIRGEN NO. 3000 EDIF. 40 DEPTO. 07 CONJ. HAB "STUNAM CULHUACAN"</t>
  </si>
  <si>
    <t>SAN FRANCISCO CULHUACAN</t>
  </si>
  <si>
    <t>CUAUHTÉMOC</t>
  </si>
  <si>
    <t>TRANSITO</t>
  </si>
  <si>
    <t>IZTACALCO</t>
  </si>
  <si>
    <t>LE28669</t>
  </si>
  <si>
    <t>AV. FRANCISCO DEL PASO Y TRONCOSO, NO.849, DEPARTAMENTO 1</t>
  </si>
  <si>
    <t>TLAZINTLA</t>
  </si>
  <si>
    <t>MIGUEL HIDALGO</t>
  </si>
  <si>
    <t>TLALNEPANTLA</t>
  </si>
  <si>
    <t>LE64856</t>
  </si>
  <si>
    <t>SAN PEDRO MARTIR</t>
  </si>
  <si>
    <t>TLALPAN</t>
  </si>
  <si>
    <t>LE71488</t>
  </si>
  <si>
    <t>CALLE 81 NUM 7, COLONIA PUEBLA, VENUSTIANO CARRANZA, CIUDAD DE MEXICO</t>
  </si>
  <si>
    <t>PUEBLA</t>
  </si>
  <si>
    <t>VENUSTIANO CARRANZA</t>
  </si>
  <si>
    <t>XOCHIMILCO</t>
  </si>
  <si>
    <t>ATIZAPAN DE ZARAGOZA</t>
  </si>
  <si>
    <t>VILLAS DE LA HACIENDA</t>
  </si>
  <si>
    <t>LE42622</t>
  </si>
  <si>
    <t>BULMARO ROLDAN 17, CASA 101, COLONIA AHUEHUETES, ATIZAPAN, ESTADO DE MEXICO</t>
  </si>
  <si>
    <t xml:space="preserve"> AHUEHUETES</t>
  </si>
  <si>
    <t>METEPEC</t>
  </si>
  <si>
    <t>TOLUCA</t>
  </si>
  <si>
    <t>CASA BLANCA</t>
  </si>
  <si>
    <t>SAN SEBASTIAN</t>
  </si>
  <si>
    <t>ÁLVARO OBREGÓN</t>
  </si>
  <si>
    <t>FX534</t>
  </si>
  <si>
    <t>MERCADERES ED. LOPEZ PORTILLO No.49-A ENT.  D  DEPTO-001 SECTOR II-CA COND. 17 SMZA</t>
  </si>
  <si>
    <t>UNIDAD HABITACIONAL  EL ROSARI</t>
  </si>
  <si>
    <t>FX401</t>
  </si>
  <si>
    <t>AMORES 105 DEPTO 106</t>
  </si>
  <si>
    <t>DEL VALLE</t>
  </si>
  <si>
    <t>BENITO JUAREZ</t>
  </si>
  <si>
    <t>FX682</t>
  </si>
  <si>
    <t>AV 1 DE MAYO 100 ED E DEPTO 309</t>
  </si>
  <si>
    <t>SAN PEDRO DE LOS PINOS</t>
  </si>
  <si>
    <t>FX790</t>
  </si>
  <si>
    <t>CEDRO   112 EDIF-B DEPTO-8</t>
  </si>
  <si>
    <t>SANTA MARIA LA RIBERA</t>
  </si>
  <si>
    <t>CUAUHTEMOC</t>
  </si>
  <si>
    <t>FX743</t>
  </si>
  <si>
    <t>BAJIO NO 131-17</t>
  </si>
  <si>
    <t>ROSA SUR</t>
  </si>
  <si>
    <t>FX238</t>
  </si>
  <si>
    <t>PLAYA MIRAMAR 362 DEPTO-410</t>
  </si>
  <si>
    <t>IZTLACIHUATL</t>
  </si>
  <si>
    <t>FX700</t>
  </si>
  <si>
    <t>CALZ DE LA VIGA NO 1143 DEPTO-27</t>
  </si>
  <si>
    <t>MARTE</t>
  </si>
  <si>
    <t>FX239</t>
  </si>
  <si>
    <t>MANUEL ACUNA 81 DEPTO 102</t>
  </si>
  <si>
    <t>SAN PEDRO IZTACALCO</t>
  </si>
  <si>
    <t>FX959</t>
  </si>
  <si>
    <t>TENORIOS  222 EDIF. 3 D-204</t>
  </si>
  <si>
    <t>ACOXPA</t>
  </si>
  <si>
    <t>FX847</t>
  </si>
  <si>
    <t>RINCON DE LOS ANGELES 119</t>
  </si>
  <si>
    <t>FRACC BOSQUE RESIDENCIAL DEL S</t>
  </si>
  <si>
    <t>FX777</t>
  </si>
  <si>
    <t>PASEO DE ACUEDUCTO #16 L 5  MZ IX D 402</t>
  </si>
  <si>
    <t>ATIZAPAN</t>
  </si>
  <si>
    <t>EDO MEX</t>
  </si>
  <si>
    <t>FX485</t>
  </si>
  <si>
    <t xml:space="preserve">AV DEL CLUB NO. 163 </t>
  </si>
  <si>
    <t>RESIDENCIAL CHILUCA</t>
  </si>
  <si>
    <t>FX923</t>
  </si>
  <si>
    <t>MARIANO ESCOBEDO 748 PISO 6</t>
  </si>
  <si>
    <t>NUEVA ANZURES</t>
  </si>
  <si>
    <t>FX656</t>
  </si>
  <si>
    <t>EDISON NO. 149 OF. 103</t>
  </si>
  <si>
    <t>SAN RAFAEL</t>
  </si>
  <si>
    <t>FX339</t>
  </si>
  <si>
    <t>Federico gomez santos,  edificio 138, departamento 405</t>
  </si>
  <si>
    <t>BUENOS AIRES</t>
  </si>
  <si>
    <t>ANT.CAM.A SAN PEDRO MARTIR 221EDF B3 DEPTO 104</t>
  </si>
  <si>
    <t>PVDA.STA LUCIA 73 E.RUBI D-3</t>
  </si>
  <si>
    <t>FX183</t>
  </si>
  <si>
    <t>PROLG DR. LUCAS LASSAGA # 207 D-004</t>
  </si>
  <si>
    <t>FX544</t>
  </si>
  <si>
    <t>STA LUCIA 73 E-ONIX D-203</t>
  </si>
  <si>
    <t>MEXICO</t>
  </si>
  <si>
    <t>FX930</t>
  </si>
  <si>
    <t>MELCHOR OCAMPO 246 D-402</t>
  </si>
  <si>
    <t>FX553</t>
  </si>
  <si>
    <t>MEDITERRANEO 11 MZ 33 LT 7 8 P</t>
  </si>
  <si>
    <t>FRACC LOMAS LINDAS</t>
  </si>
  <si>
    <t>FX935</t>
  </si>
  <si>
    <t>ERNESTO ELORDUY N 20 DEPTO. 5 PENT-HOUSE, ENTRE RICARDO PAL</t>
  </si>
  <si>
    <t>GUADALIPE INN</t>
  </si>
  <si>
    <t>FX899</t>
  </si>
  <si>
    <t>CRUZ DEL CRISTO 10, LT 1, CASA 44</t>
  </si>
  <si>
    <t>SANTA CRUZ DEL MONTE BUGAMBILIAS</t>
  </si>
  <si>
    <t>FX367</t>
  </si>
  <si>
    <t>LOMA LINDA MZ 33 ANTES 236</t>
  </si>
  <si>
    <t>FX462</t>
  </si>
  <si>
    <t>CALZADA DE TLALPAN #5060, EDIF. A, DEPTO. 303</t>
  </si>
  <si>
    <t>LA JOYA</t>
  </si>
  <si>
    <t>FÉNIX</t>
  </si>
  <si>
    <t>LISTA</t>
  </si>
  <si>
    <t>FX457</t>
  </si>
  <si>
    <t>CERRO ATENCO NO. 235, LOS PIRULES, TLALNEPANTLA, EDOMEX.</t>
  </si>
  <si>
    <t>LOS PIRULES</t>
  </si>
  <si>
    <t>FX471</t>
  </si>
  <si>
    <t>CIRUELOS 101 A, FRACCIONAMIENTO CASA BLANCA, METEPC, TOLUCA, EDOMEX</t>
  </si>
  <si>
    <t>FX399</t>
  </si>
  <si>
    <t>CALLE PRIVADA JOSÉ SANCHEZ DE LA HOZ, NÚMERO 13, DEPTO. 101-B, COL. BUENOS AIRES, ALCALDIA CUAUHTEMOC, CDMX.</t>
  </si>
  <si>
    <t>FX561</t>
  </si>
  <si>
    <t xml:space="preserve">CALLE AV.ORIENTE 157, NÚMERO 10, EDIFICIO B, DEPTO, PH-3  COL. EL COYOL, GUSTAVO A. MADERO, CDMX </t>
  </si>
  <si>
    <t>EL COYOL</t>
  </si>
  <si>
    <t>GUSTAVO A MADERO</t>
  </si>
  <si>
    <t>FX9356</t>
  </si>
  <si>
    <t xml:space="preserve">CALLE MIGUEL MATA, NÚMERO 209, CASA 24, COL. SANTIAGO MILTEPEC, TOLUCA, ESTADO DE MEXICO </t>
  </si>
  <si>
    <t>SANTIAGO MILTEPEC</t>
  </si>
  <si>
    <t>FX715</t>
  </si>
  <si>
    <t>CALLE AV. SAN JUAN DE ARAGON, NÚMERO 351, EDIFICIO POSEIDON, DEPTO, 402, COL. SAN JUAN DE ARAGON, ALCALDIA GUSTAVO A. MADERO, CDMX.</t>
  </si>
  <si>
    <t>SAN JUAN DE ARAGÓN</t>
  </si>
  <si>
    <t>FX335</t>
  </si>
  <si>
    <t>CALLE LOS ANGELES, NUMERO 39, RESIDENCIAL SAN SEBASTIAN, COL. SAN SEBASTIAN TECOLOXTITLA, ALCALDIA IZTAPALAPA, CDMX.</t>
  </si>
  <si>
    <t>IZTAPALAPA</t>
  </si>
  <si>
    <t>FX753</t>
  </si>
  <si>
    <t>CALLE DILIGENCIAS, NUMERO 153, EDIFICO E, DEPTO 502, COL. SAN PEDRO MARTIR, ALCALDIA TLALPAN, CDMX.</t>
  </si>
  <si>
    <t>FX455</t>
  </si>
  <si>
    <t>CALLE MELESIO MORALES, NUMERO 40, DEPTO. 02, Y CAJON DE ESTACIONAMIENTO, COL GUADALUPE INN, ALCALDIA ALVARO OBREGON, CDMX.</t>
  </si>
  <si>
    <t>GUADALUPE INN</t>
  </si>
  <si>
    <t>FX393</t>
  </si>
  <si>
    <t>CALLE PERIFERICO SUR, NUMERO 4091, EDIFICIO LL-4, DEPTO 8, UNIDAD HABITACIONAL PEMEX PICACHO, COL PEMEX PICACHO PRESIDENTE EMILIO PORTES GIL, ALCALDIA TLALPAN, CDMX.</t>
  </si>
  <si>
    <t>PEMEX PICACHO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</si>
</sst>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6633"/>
        <bgColor rgb="FF000000"/>
      </patternFill>
    </fill>
    <fill>
      <patternFill patternType="solid">
        <fgColor rgb="FF99663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vertical="center"/>
    </xf>
  </cellXfs>
  <cellStyles count="2">
    <cellStyle name="Moneda" xfId="1" builtinId="4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5E87-5B77-4D3D-8A07-440C88F2120D}">
  <dimension ref="A1:K42"/>
  <sheetViews>
    <sheetView tabSelected="1" topLeftCell="D1" workbookViewId="0">
      <selection activeCell="I1" sqref="I1:K1048576"/>
    </sheetView>
  </sheetViews>
  <sheetFormatPr baseColWidth="10" defaultRowHeight="14.5" x14ac:dyDescent="0.35"/>
  <cols>
    <col min="1" max="1" width="8.26953125" customWidth="1"/>
    <col min="2" max="2" width="13.81640625" customWidth="1"/>
    <col min="3" max="3" width="11.81640625" customWidth="1"/>
    <col min="4" max="4" width="35.81640625" customWidth="1"/>
    <col min="5" max="5" width="27" customWidth="1"/>
    <col min="6" max="6" width="19.81640625" customWidth="1"/>
    <col min="7" max="7" width="19.453125" customWidth="1"/>
    <col min="8" max="8" width="21.7265625" customWidth="1"/>
    <col min="9" max="9" width="19.453125" customWidth="1"/>
    <col min="10" max="10" width="15.453125" customWidth="1"/>
    <col min="11" max="11" width="12.08984375" bestFit="1" customWidth="1"/>
  </cols>
  <sheetData>
    <row r="1" spans="1:11" ht="18" x14ac:dyDescent="0.35">
      <c r="A1" s="1" t="s">
        <v>0</v>
      </c>
      <c r="B1" s="1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/>
      <c r="J1" s="2"/>
    </row>
    <row r="2" spans="1:11" ht="31" x14ac:dyDescent="0.35">
      <c r="A2" s="3">
        <f>SUBTOTAL(103,$D$2:D2)</f>
        <v>1</v>
      </c>
      <c r="B2" s="3" t="s">
        <v>119</v>
      </c>
      <c r="C2" s="3" t="s">
        <v>108</v>
      </c>
      <c r="D2" s="3" t="s">
        <v>109</v>
      </c>
      <c r="E2" s="3" t="s">
        <v>110</v>
      </c>
      <c r="F2" s="3" t="s">
        <v>9</v>
      </c>
      <c r="G2" s="3" t="s">
        <v>10</v>
      </c>
      <c r="H2" s="5">
        <v>910000</v>
      </c>
      <c r="I2" s="5"/>
      <c r="J2" s="4"/>
      <c r="K2" s="8"/>
    </row>
    <row r="3" spans="1:11" ht="15.5" x14ac:dyDescent="0.35">
      <c r="A3" s="3">
        <f>SUBTOTAL(103,$D$2:D3)</f>
        <v>2</v>
      </c>
      <c r="B3" s="3" t="s">
        <v>119</v>
      </c>
      <c r="C3" s="3" t="s">
        <v>11</v>
      </c>
      <c r="D3" s="3" t="s">
        <v>12</v>
      </c>
      <c r="E3" s="3" t="s">
        <v>13</v>
      </c>
      <c r="F3" s="3" t="s">
        <v>9</v>
      </c>
      <c r="G3" s="3" t="s">
        <v>10</v>
      </c>
      <c r="H3" s="5">
        <v>710000</v>
      </c>
      <c r="I3" s="5"/>
      <c r="J3" s="4"/>
      <c r="K3" s="8"/>
    </row>
    <row r="4" spans="1:11" ht="15.5" x14ac:dyDescent="0.35">
      <c r="A4" s="3">
        <f>SUBTOTAL(103,$D$2:D4)</f>
        <v>3</v>
      </c>
      <c r="B4" s="3" t="s">
        <v>119</v>
      </c>
      <c r="C4" s="3" t="s">
        <v>7</v>
      </c>
      <c r="D4" s="3" t="s">
        <v>97</v>
      </c>
      <c r="E4" s="3" t="s">
        <v>8</v>
      </c>
      <c r="F4" s="3" t="s">
        <v>9</v>
      </c>
      <c r="G4" s="3" t="s">
        <v>10</v>
      </c>
      <c r="H4" s="5">
        <v>690000</v>
      </c>
      <c r="I4" s="5"/>
      <c r="J4" s="4"/>
      <c r="K4" s="8"/>
    </row>
    <row r="5" spans="1:11" ht="46.5" x14ac:dyDescent="0.35">
      <c r="A5" s="3">
        <f>SUBTOTAL(103,$D$2:D5)</f>
        <v>4</v>
      </c>
      <c r="B5" s="3" t="s">
        <v>119</v>
      </c>
      <c r="C5" s="3" t="s">
        <v>48</v>
      </c>
      <c r="D5" s="3" t="s">
        <v>49</v>
      </c>
      <c r="E5" s="3" t="s">
        <v>50</v>
      </c>
      <c r="F5" s="3" t="s">
        <v>14</v>
      </c>
      <c r="G5" s="3" t="s">
        <v>10</v>
      </c>
      <c r="H5" s="5">
        <v>610000</v>
      </c>
      <c r="I5" s="5"/>
      <c r="J5" s="4"/>
      <c r="K5" s="8"/>
    </row>
    <row r="6" spans="1:11" ht="15.5" x14ac:dyDescent="0.35">
      <c r="A6" s="3">
        <f>SUBTOTAL(103,$D$2:D6)</f>
        <v>5</v>
      </c>
      <c r="B6" s="3" t="s">
        <v>119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10</v>
      </c>
      <c r="H6" s="5">
        <v>660000</v>
      </c>
      <c r="I6" s="5"/>
      <c r="J6" s="4"/>
      <c r="K6" s="8"/>
    </row>
    <row r="7" spans="1:11" ht="15.5" x14ac:dyDescent="0.35">
      <c r="A7" s="3">
        <f>SUBTOTAL(103,$D$2:D7)</f>
        <v>6</v>
      </c>
      <c r="B7" s="3" t="s">
        <v>119</v>
      </c>
      <c r="C7" s="3" t="s">
        <v>55</v>
      </c>
      <c r="D7" s="3" t="s">
        <v>56</v>
      </c>
      <c r="E7" s="3" t="s">
        <v>57</v>
      </c>
      <c r="F7" s="3" t="s">
        <v>54</v>
      </c>
      <c r="G7" s="3" t="s">
        <v>10</v>
      </c>
      <c r="H7" s="5">
        <v>610000</v>
      </c>
      <c r="I7" s="5"/>
      <c r="J7" s="4"/>
      <c r="K7" s="8"/>
    </row>
    <row r="8" spans="1:11" ht="31" x14ac:dyDescent="0.35">
      <c r="A8" s="3">
        <f>SUBTOTAL(103,$D$2:D8)</f>
        <v>7</v>
      </c>
      <c r="B8" s="3" t="s">
        <v>119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10</v>
      </c>
      <c r="H8" s="5">
        <v>810000</v>
      </c>
      <c r="I8" s="5"/>
      <c r="J8" s="4"/>
      <c r="K8" s="8"/>
    </row>
    <row r="9" spans="1:11" ht="46.5" x14ac:dyDescent="0.35">
      <c r="A9" s="3">
        <f>SUBTOTAL(103,$D$2:D9)</f>
        <v>8</v>
      </c>
      <c r="B9" s="3" t="s">
        <v>119</v>
      </c>
      <c r="C9" s="3" t="s">
        <v>19</v>
      </c>
      <c r="D9" s="3" t="s">
        <v>20</v>
      </c>
      <c r="E9" s="3" t="s">
        <v>21</v>
      </c>
      <c r="F9" s="3" t="s">
        <v>18</v>
      </c>
      <c r="G9" s="3" t="s">
        <v>10</v>
      </c>
      <c r="H9" s="5">
        <v>640000</v>
      </c>
      <c r="I9" s="5"/>
      <c r="J9" s="4"/>
      <c r="K9" s="8"/>
    </row>
    <row r="10" spans="1:11" ht="15.5" x14ac:dyDescent="0.35">
      <c r="A10" s="3">
        <f>SUBTOTAL(103,$D$2:D10)</f>
        <v>9</v>
      </c>
      <c r="B10" s="3" t="s">
        <v>119</v>
      </c>
      <c r="C10" s="3" t="s">
        <v>103</v>
      </c>
      <c r="D10" s="3" t="s">
        <v>104</v>
      </c>
      <c r="E10" s="3" t="s">
        <v>61</v>
      </c>
      <c r="F10" s="3" t="s">
        <v>61</v>
      </c>
      <c r="G10" s="3" t="s">
        <v>10</v>
      </c>
      <c r="H10" s="5">
        <v>910000</v>
      </c>
      <c r="I10" s="5"/>
      <c r="J10" s="4"/>
      <c r="K10" s="8"/>
    </row>
    <row r="11" spans="1:11" ht="15.5" x14ac:dyDescent="0.35">
      <c r="A11" s="3">
        <f>SUBTOTAL(103,$D$2:D11)</f>
        <v>10</v>
      </c>
      <c r="B11" s="3" t="s">
        <v>119</v>
      </c>
      <c r="C11" s="3" t="s">
        <v>62</v>
      </c>
      <c r="D11" s="3" t="s">
        <v>63</v>
      </c>
      <c r="E11" s="3" t="s">
        <v>64</v>
      </c>
      <c r="F11" s="3" t="s">
        <v>61</v>
      </c>
      <c r="G11" s="3" t="s">
        <v>10</v>
      </c>
      <c r="H11" s="5">
        <v>660000</v>
      </c>
      <c r="I11" s="5"/>
      <c r="J11" s="4"/>
      <c r="K11" s="8"/>
    </row>
    <row r="12" spans="1:11" ht="15.5" x14ac:dyDescent="0.35">
      <c r="A12" s="3">
        <f>SUBTOTAL(103,$D$2:D12)</f>
        <v>11</v>
      </c>
      <c r="B12" s="3" t="s">
        <v>119</v>
      </c>
      <c r="C12" s="3" t="s">
        <v>90</v>
      </c>
      <c r="D12" s="3" t="s">
        <v>91</v>
      </c>
      <c r="E12" s="3" t="s">
        <v>92</v>
      </c>
      <c r="F12" s="3" t="s">
        <v>61</v>
      </c>
      <c r="G12" s="3" t="s">
        <v>10</v>
      </c>
      <c r="H12" s="5">
        <v>710000</v>
      </c>
      <c r="I12" s="5"/>
      <c r="J12" s="4"/>
      <c r="K12" s="8"/>
    </row>
    <row r="13" spans="1:11" ht="15.5" x14ac:dyDescent="0.35">
      <c r="A13" s="3">
        <f>SUBTOTAL(103,$D$2:D13)</f>
        <v>12</v>
      </c>
      <c r="B13" s="3" t="s">
        <v>119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10</v>
      </c>
      <c r="H13" s="5">
        <v>810000</v>
      </c>
      <c r="I13" s="5"/>
      <c r="J13" s="4"/>
      <c r="K13" s="8"/>
    </row>
    <row r="14" spans="1:11" ht="31" x14ac:dyDescent="0.35">
      <c r="A14" s="3">
        <f>SUBTOTAL(103,$D$2:D14)</f>
        <v>13</v>
      </c>
      <c r="B14" s="3" t="s">
        <v>119</v>
      </c>
      <c r="C14" s="3" t="s">
        <v>98</v>
      </c>
      <c r="D14" s="3" t="s">
        <v>99</v>
      </c>
      <c r="E14" s="3" t="s">
        <v>23</v>
      </c>
      <c r="F14" s="3" t="s">
        <v>61</v>
      </c>
      <c r="G14" s="3" t="s">
        <v>10</v>
      </c>
      <c r="H14" s="5">
        <v>610000</v>
      </c>
      <c r="I14" s="5"/>
      <c r="J14" s="4"/>
      <c r="K14" s="8"/>
    </row>
    <row r="15" spans="1:11" ht="15.5" x14ac:dyDescent="0.35">
      <c r="A15" s="3">
        <f>SUBTOTAL(103,$D$2:D15)</f>
        <v>14</v>
      </c>
      <c r="B15" s="3" t="s">
        <v>119</v>
      </c>
      <c r="C15" s="3" t="s">
        <v>65</v>
      </c>
      <c r="D15" s="3" t="s">
        <v>66</v>
      </c>
      <c r="E15" s="3" t="s">
        <v>67</v>
      </c>
      <c r="F15" s="3" t="s">
        <v>24</v>
      </c>
      <c r="G15" s="3" t="s">
        <v>10</v>
      </c>
      <c r="H15" s="5">
        <v>810000</v>
      </c>
      <c r="I15" s="5"/>
      <c r="J15" s="4"/>
      <c r="K15" s="8"/>
    </row>
    <row r="16" spans="1:11" ht="15.5" x14ac:dyDescent="0.35">
      <c r="A16" s="3">
        <f>SUBTOTAL(103,$D$2:D16)</f>
        <v>15</v>
      </c>
      <c r="B16" s="3" t="s">
        <v>119</v>
      </c>
      <c r="C16" s="3" t="s">
        <v>68</v>
      </c>
      <c r="D16" s="3" t="s">
        <v>69</v>
      </c>
      <c r="E16" s="3" t="s">
        <v>70</v>
      </c>
      <c r="F16" s="3" t="s">
        <v>24</v>
      </c>
      <c r="G16" s="3" t="s">
        <v>10</v>
      </c>
      <c r="H16" s="5">
        <v>660000</v>
      </c>
      <c r="I16" s="5"/>
      <c r="J16" s="4"/>
      <c r="K16" s="8"/>
    </row>
    <row r="17" spans="1:11" ht="15.5" x14ac:dyDescent="0.35">
      <c r="A17" s="3">
        <f>SUBTOTAL(103,$D$2:D17)</f>
        <v>16</v>
      </c>
      <c r="B17" s="3" t="s">
        <v>119</v>
      </c>
      <c r="C17" s="3" t="s">
        <v>71</v>
      </c>
      <c r="D17" s="3" t="s">
        <v>72</v>
      </c>
      <c r="E17" s="3" t="s">
        <v>73</v>
      </c>
      <c r="F17" s="3" t="s">
        <v>24</v>
      </c>
      <c r="G17" s="3" t="s">
        <v>10</v>
      </c>
      <c r="H17" s="5">
        <v>630000</v>
      </c>
      <c r="I17" s="5"/>
      <c r="J17" s="4"/>
      <c r="K17" s="8"/>
    </row>
    <row r="18" spans="1:11" ht="46.5" x14ac:dyDescent="0.35">
      <c r="A18" s="3">
        <f>SUBTOTAL(103,$D$2:D18)</f>
        <v>17</v>
      </c>
      <c r="B18" s="3" t="s">
        <v>119</v>
      </c>
      <c r="C18" s="3" t="s">
        <v>25</v>
      </c>
      <c r="D18" s="3" t="s">
        <v>26</v>
      </c>
      <c r="E18" s="3" t="s">
        <v>27</v>
      </c>
      <c r="F18" s="3" t="s">
        <v>24</v>
      </c>
      <c r="G18" s="3" t="s">
        <v>10</v>
      </c>
      <c r="H18" s="5">
        <v>760000</v>
      </c>
      <c r="I18" s="5"/>
      <c r="J18" s="4"/>
      <c r="K18" s="8"/>
    </row>
    <row r="19" spans="1:11" ht="15.5" x14ac:dyDescent="0.35">
      <c r="A19" s="3">
        <f>SUBTOTAL(103,$D$2:D19)</f>
        <v>18</v>
      </c>
      <c r="B19" s="3" t="s">
        <v>119</v>
      </c>
      <c r="C19" s="3" t="s">
        <v>100</v>
      </c>
      <c r="D19" s="3" t="s">
        <v>101</v>
      </c>
      <c r="E19" s="3" t="s">
        <v>8</v>
      </c>
      <c r="F19" s="3" t="s">
        <v>102</v>
      </c>
      <c r="G19" s="3" t="s">
        <v>10</v>
      </c>
      <c r="H19" s="5">
        <v>630000</v>
      </c>
      <c r="I19" s="5"/>
      <c r="J19" s="4"/>
      <c r="K19" s="8"/>
    </row>
    <row r="20" spans="1:11" ht="15.5" x14ac:dyDescent="0.35">
      <c r="A20" s="3">
        <f>SUBTOTAL(103,$D$2:D20)</f>
        <v>19</v>
      </c>
      <c r="B20" s="3" t="s">
        <v>119</v>
      </c>
      <c r="C20" s="3" t="s">
        <v>87</v>
      </c>
      <c r="D20" s="3" t="s">
        <v>88</v>
      </c>
      <c r="E20" s="3" t="s">
        <v>89</v>
      </c>
      <c r="F20" s="3" t="s">
        <v>28</v>
      </c>
      <c r="G20" s="3" t="s">
        <v>10</v>
      </c>
      <c r="H20" s="5">
        <v>720000</v>
      </c>
      <c r="I20" s="5"/>
      <c r="J20" s="4"/>
      <c r="K20" s="8"/>
    </row>
    <row r="21" spans="1:11" ht="15.5" x14ac:dyDescent="0.35">
      <c r="A21" s="3">
        <f>SUBTOTAL(103,$D$2:D21)</f>
        <v>20</v>
      </c>
      <c r="B21" s="3" t="s">
        <v>119</v>
      </c>
      <c r="C21" s="3" t="s">
        <v>74</v>
      </c>
      <c r="D21" s="3" t="s">
        <v>75</v>
      </c>
      <c r="E21" s="3" t="s">
        <v>76</v>
      </c>
      <c r="F21" s="3" t="s">
        <v>32</v>
      </c>
      <c r="G21" s="3" t="s">
        <v>10</v>
      </c>
      <c r="H21" s="5">
        <v>660000</v>
      </c>
      <c r="I21" s="5"/>
      <c r="J21" s="4"/>
      <c r="K21" s="8"/>
    </row>
    <row r="22" spans="1:11" ht="15.5" x14ac:dyDescent="0.35">
      <c r="A22" s="3">
        <f>SUBTOTAL(103,$D$2:D22)</f>
        <v>21</v>
      </c>
      <c r="B22" s="3" t="s">
        <v>119</v>
      </c>
      <c r="C22" s="3" t="s">
        <v>114</v>
      </c>
      <c r="D22" s="3" t="s">
        <v>115</v>
      </c>
      <c r="E22" s="3" t="s">
        <v>28</v>
      </c>
      <c r="F22" s="3" t="s">
        <v>32</v>
      </c>
      <c r="G22" s="3" t="s">
        <v>10</v>
      </c>
      <c r="H22" s="5">
        <v>940000</v>
      </c>
      <c r="I22" s="5"/>
      <c r="J22" s="4"/>
      <c r="K22" s="8"/>
    </row>
    <row r="23" spans="1:11" ht="31" x14ac:dyDescent="0.35">
      <c r="A23" s="3">
        <f>SUBTOTAL(103,$D$2:D23)</f>
        <v>22</v>
      </c>
      <c r="B23" s="3" t="s">
        <v>119</v>
      </c>
      <c r="C23" s="3" t="s">
        <v>30</v>
      </c>
      <c r="D23" s="3" t="s">
        <v>96</v>
      </c>
      <c r="E23" s="3" t="s">
        <v>31</v>
      </c>
      <c r="F23" s="3" t="s">
        <v>32</v>
      </c>
      <c r="G23" s="3" t="s">
        <v>10</v>
      </c>
      <c r="H23" s="5">
        <v>690000</v>
      </c>
      <c r="I23" s="5"/>
      <c r="J23" s="4"/>
      <c r="K23" s="8"/>
    </row>
    <row r="24" spans="1:11" ht="46.5" x14ac:dyDescent="0.35">
      <c r="A24" s="3">
        <f>SUBTOTAL(103,$D$2:D24)</f>
        <v>23</v>
      </c>
      <c r="B24" s="3" t="s">
        <v>119</v>
      </c>
      <c r="C24" s="3" t="s">
        <v>33</v>
      </c>
      <c r="D24" s="3" t="s">
        <v>34</v>
      </c>
      <c r="E24" s="3" t="s">
        <v>35</v>
      </c>
      <c r="F24" s="3" t="s">
        <v>36</v>
      </c>
      <c r="G24" s="3" t="s">
        <v>10</v>
      </c>
      <c r="H24" s="5">
        <v>810000</v>
      </c>
      <c r="I24" s="5"/>
      <c r="J24" s="4"/>
      <c r="K24" s="8"/>
    </row>
    <row r="25" spans="1:11" ht="31" x14ac:dyDescent="0.35">
      <c r="A25" s="3">
        <f>SUBTOTAL(103,$D$2:D25)</f>
        <v>24</v>
      </c>
      <c r="B25" s="3" t="s">
        <v>119</v>
      </c>
      <c r="C25" s="3" t="s">
        <v>77</v>
      </c>
      <c r="D25" s="3" t="s">
        <v>78</v>
      </c>
      <c r="E25" s="3" t="s">
        <v>79</v>
      </c>
      <c r="F25" s="3" t="s">
        <v>37</v>
      </c>
      <c r="G25" s="3" t="s">
        <v>10</v>
      </c>
      <c r="H25" s="5">
        <v>910000</v>
      </c>
      <c r="I25" s="5"/>
      <c r="J25" s="4"/>
      <c r="K25" s="8"/>
    </row>
    <row r="26" spans="1:11" ht="15.5" x14ac:dyDescent="0.35">
      <c r="A26" s="3">
        <f>SUBTOTAL(103,$D$2:D26)</f>
        <v>25</v>
      </c>
      <c r="B26" s="3" t="s">
        <v>119</v>
      </c>
      <c r="C26" s="3" t="s">
        <v>84</v>
      </c>
      <c r="D26" s="3" t="s">
        <v>85</v>
      </c>
      <c r="E26" s="3" t="s">
        <v>86</v>
      </c>
      <c r="F26" s="3" t="s">
        <v>82</v>
      </c>
      <c r="G26" s="3" t="s">
        <v>83</v>
      </c>
      <c r="H26" s="5">
        <v>830000</v>
      </c>
      <c r="I26" s="5"/>
      <c r="J26" s="4"/>
      <c r="K26" s="8"/>
    </row>
    <row r="27" spans="1:11" ht="31" x14ac:dyDescent="0.35">
      <c r="A27" s="3">
        <f>SUBTOTAL(103,$D$2:D27)</f>
        <v>26</v>
      </c>
      <c r="B27" s="3" t="s">
        <v>119</v>
      </c>
      <c r="C27" s="3" t="s">
        <v>80</v>
      </c>
      <c r="D27" s="3" t="s">
        <v>81</v>
      </c>
      <c r="E27" s="3" t="s">
        <v>39</v>
      </c>
      <c r="F27" s="3" t="s">
        <v>82</v>
      </c>
      <c r="G27" s="3" t="s">
        <v>83</v>
      </c>
      <c r="H27" s="5">
        <v>630000</v>
      </c>
      <c r="I27" s="5"/>
      <c r="J27" s="4"/>
      <c r="K27" s="8"/>
    </row>
    <row r="28" spans="1:11" ht="46.5" x14ac:dyDescent="0.35">
      <c r="A28" s="3">
        <f>SUBTOTAL(103,$D$2:D28)</f>
        <v>27</v>
      </c>
      <c r="B28" s="3" t="s">
        <v>119</v>
      </c>
      <c r="C28" s="3" t="s">
        <v>40</v>
      </c>
      <c r="D28" s="3" t="s">
        <v>41</v>
      </c>
      <c r="E28" s="3" t="s">
        <v>42</v>
      </c>
      <c r="F28" s="3" t="s">
        <v>38</v>
      </c>
      <c r="G28" s="3" t="s">
        <v>83</v>
      </c>
      <c r="H28" s="5">
        <v>660000</v>
      </c>
      <c r="I28" s="5"/>
      <c r="J28" s="4"/>
      <c r="K28" s="8"/>
    </row>
    <row r="29" spans="1:11" ht="31" x14ac:dyDescent="0.35">
      <c r="A29" s="3">
        <f>SUBTOTAL(103,$D$2:D29)</f>
        <v>28</v>
      </c>
      <c r="B29" s="3" t="s">
        <v>119</v>
      </c>
      <c r="C29" s="3" t="s">
        <v>105</v>
      </c>
      <c r="D29" s="3" t="s">
        <v>106</v>
      </c>
      <c r="E29" s="3" t="s">
        <v>107</v>
      </c>
      <c r="F29" s="3" t="s">
        <v>38</v>
      </c>
      <c r="G29" s="3" t="s">
        <v>83</v>
      </c>
      <c r="H29" s="5">
        <v>670000</v>
      </c>
      <c r="I29" s="5"/>
      <c r="J29" s="4"/>
      <c r="K29" s="8"/>
    </row>
    <row r="30" spans="1:11" ht="31" x14ac:dyDescent="0.35">
      <c r="A30" s="3">
        <f>SUBTOTAL(103,$D$2:D30)</f>
        <v>29</v>
      </c>
      <c r="B30" s="3" t="s">
        <v>119</v>
      </c>
      <c r="C30" s="3" t="s">
        <v>111</v>
      </c>
      <c r="D30" s="3" t="s">
        <v>112</v>
      </c>
      <c r="E30" s="3" t="s">
        <v>113</v>
      </c>
      <c r="F30" s="3" t="s">
        <v>18</v>
      </c>
      <c r="G30" s="3" t="s">
        <v>83</v>
      </c>
      <c r="H30" s="5">
        <v>910000</v>
      </c>
      <c r="I30" s="5"/>
      <c r="J30" s="4"/>
      <c r="K30" s="8"/>
    </row>
    <row r="31" spans="1:11" ht="31" x14ac:dyDescent="0.35">
      <c r="A31" s="3">
        <f>SUBTOTAL(103,$D$2:D31)</f>
        <v>30</v>
      </c>
      <c r="B31" s="3" t="s">
        <v>119</v>
      </c>
      <c r="C31" s="3" t="s">
        <v>93</v>
      </c>
      <c r="D31" s="3" t="s">
        <v>94</v>
      </c>
      <c r="E31" s="3" t="s">
        <v>95</v>
      </c>
      <c r="F31" s="3" t="s">
        <v>61</v>
      </c>
      <c r="G31" s="3" t="s">
        <v>83</v>
      </c>
      <c r="H31" s="5">
        <v>780000</v>
      </c>
      <c r="I31" s="5"/>
      <c r="J31" s="4"/>
      <c r="K31" s="8"/>
    </row>
    <row r="32" spans="1:11" ht="31" x14ac:dyDescent="0.35">
      <c r="A32" s="3">
        <f>SUBTOTAL(103,$D$2:D32)</f>
        <v>31</v>
      </c>
      <c r="B32" s="3" t="s">
        <v>119</v>
      </c>
      <c r="C32" s="3" t="s">
        <v>116</v>
      </c>
      <c r="D32" s="3" t="s">
        <v>117</v>
      </c>
      <c r="E32" s="3" t="s">
        <v>118</v>
      </c>
      <c r="F32" s="3" t="s">
        <v>32</v>
      </c>
      <c r="G32" s="3" t="s">
        <v>10</v>
      </c>
      <c r="H32" s="5">
        <v>840000</v>
      </c>
      <c r="I32" s="5"/>
      <c r="J32" s="4"/>
      <c r="K32" s="8"/>
    </row>
    <row r="33" spans="1:11" ht="29" x14ac:dyDescent="0.35">
      <c r="A33" s="3">
        <f>SUBTOTAL(103,$D$2:D33)</f>
        <v>32</v>
      </c>
      <c r="B33" s="3" t="s">
        <v>119</v>
      </c>
      <c r="C33" s="6" t="s">
        <v>121</v>
      </c>
      <c r="D33" s="6" t="s">
        <v>122</v>
      </c>
      <c r="E33" s="6" t="s">
        <v>123</v>
      </c>
      <c r="F33" s="6" t="s">
        <v>29</v>
      </c>
      <c r="G33" s="6" t="s">
        <v>83</v>
      </c>
      <c r="H33" s="7">
        <v>670000</v>
      </c>
      <c r="I33" s="5"/>
      <c r="J33" s="4"/>
      <c r="K33" s="8"/>
    </row>
    <row r="34" spans="1:11" ht="43.5" x14ac:dyDescent="0.35">
      <c r="A34" s="3">
        <f>SUBTOTAL(103,$D$2:D34)</f>
        <v>33</v>
      </c>
      <c r="B34" s="3" t="s">
        <v>119</v>
      </c>
      <c r="C34" s="6" t="s">
        <v>124</v>
      </c>
      <c r="D34" s="6" t="s">
        <v>125</v>
      </c>
      <c r="E34" s="6" t="s">
        <v>45</v>
      </c>
      <c r="F34" s="6" t="s">
        <v>43</v>
      </c>
      <c r="G34" s="6" t="s">
        <v>83</v>
      </c>
      <c r="H34" s="7">
        <v>890000</v>
      </c>
      <c r="I34" s="5"/>
      <c r="J34" s="4"/>
      <c r="K34" s="8"/>
    </row>
    <row r="35" spans="1:11" ht="58" x14ac:dyDescent="0.35">
      <c r="A35" s="3">
        <f>SUBTOTAL(103,$D$2:D35)</f>
        <v>34</v>
      </c>
      <c r="B35" s="3" t="s">
        <v>119</v>
      </c>
      <c r="C35" s="6" t="s">
        <v>126</v>
      </c>
      <c r="D35" s="6" t="s">
        <v>127</v>
      </c>
      <c r="E35" s="6" t="s">
        <v>95</v>
      </c>
      <c r="F35" s="6" t="s">
        <v>22</v>
      </c>
      <c r="G35" s="6" t="s">
        <v>10</v>
      </c>
      <c r="H35" s="7">
        <v>620000</v>
      </c>
      <c r="I35" s="5"/>
      <c r="J35" s="4"/>
      <c r="K35" s="8"/>
    </row>
    <row r="36" spans="1:11" ht="43.5" x14ac:dyDescent="0.35">
      <c r="A36" s="3">
        <f>SUBTOTAL(103,$D$2:D36)</f>
        <v>35</v>
      </c>
      <c r="B36" s="3" t="s">
        <v>119</v>
      </c>
      <c r="C36" s="6" t="s">
        <v>128</v>
      </c>
      <c r="D36" s="6" t="s">
        <v>129</v>
      </c>
      <c r="E36" s="6" t="s">
        <v>130</v>
      </c>
      <c r="F36" s="6" t="s">
        <v>131</v>
      </c>
      <c r="G36" s="6" t="s">
        <v>10</v>
      </c>
      <c r="H36" s="7">
        <v>630000</v>
      </c>
      <c r="I36" s="5"/>
      <c r="J36" s="4"/>
      <c r="K36" s="8"/>
    </row>
    <row r="37" spans="1:11" ht="43.5" x14ac:dyDescent="0.35">
      <c r="A37" s="3">
        <f>SUBTOTAL(103,$D$2:D37)</f>
        <v>36</v>
      </c>
      <c r="B37" s="3" t="s">
        <v>119</v>
      </c>
      <c r="C37" s="6" t="s">
        <v>132</v>
      </c>
      <c r="D37" s="6" t="s">
        <v>133</v>
      </c>
      <c r="E37" s="6" t="s">
        <v>134</v>
      </c>
      <c r="F37" s="6" t="s">
        <v>44</v>
      </c>
      <c r="G37" s="6" t="s">
        <v>83</v>
      </c>
      <c r="H37" s="7">
        <v>605000</v>
      </c>
      <c r="I37" s="5"/>
      <c r="J37" s="4"/>
      <c r="K37" s="8"/>
    </row>
    <row r="38" spans="1:11" ht="58" x14ac:dyDescent="0.35">
      <c r="A38" s="3">
        <f>SUBTOTAL(103,$D$2:D38)</f>
        <v>37</v>
      </c>
      <c r="B38" s="3" t="s">
        <v>119</v>
      </c>
      <c r="C38" s="6" t="s">
        <v>135</v>
      </c>
      <c r="D38" s="6" t="s">
        <v>136</v>
      </c>
      <c r="E38" s="6" t="s">
        <v>137</v>
      </c>
      <c r="F38" s="6" t="s">
        <v>131</v>
      </c>
      <c r="G38" s="6" t="s">
        <v>10</v>
      </c>
      <c r="H38" s="7">
        <v>585000</v>
      </c>
      <c r="I38" s="5"/>
      <c r="J38" s="4"/>
      <c r="K38" s="8"/>
    </row>
    <row r="39" spans="1:11" ht="58" x14ac:dyDescent="0.35">
      <c r="A39" s="3">
        <f>SUBTOTAL(103,$D$2:D39)</f>
        <v>38</v>
      </c>
      <c r="B39" s="3" t="s">
        <v>119</v>
      </c>
      <c r="C39" s="6" t="s">
        <v>138</v>
      </c>
      <c r="D39" s="6" t="s">
        <v>139</v>
      </c>
      <c r="E39" s="6" t="s">
        <v>46</v>
      </c>
      <c r="F39" s="6" t="s">
        <v>140</v>
      </c>
      <c r="G39" s="6" t="s">
        <v>10</v>
      </c>
      <c r="H39" s="7">
        <v>605000</v>
      </c>
      <c r="I39" s="5"/>
      <c r="J39" s="4"/>
      <c r="K39" s="8"/>
    </row>
    <row r="40" spans="1:11" ht="43.5" x14ac:dyDescent="0.35">
      <c r="A40" s="3">
        <f>SUBTOTAL(103,$D$2:D40)</f>
        <v>39</v>
      </c>
      <c r="B40" s="3" t="s">
        <v>119</v>
      </c>
      <c r="C40" s="6" t="s">
        <v>141</v>
      </c>
      <c r="D40" s="6" t="s">
        <v>142</v>
      </c>
      <c r="E40" s="6" t="s">
        <v>31</v>
      </c>
      <c r="F40" s="6" t="s">
        <v>32</v>
      </c>
      <c r="G40" s="6" t="s">
        <v>10</v>
      </c>
      <c r="H40" s="7">
        <v>605000</v>
      </c>
      <c r="I40" s="5"/>
      <c r="J40" s="4"/>
      <c r="K40" s="8"/>
    </row>
    <row r="41" spans="1:11" ht="72.5" x14ac:dyDescent="0.35">
      <c r="A41" s="3">
        <f>SUBTOTAL(103,$D$2:D41)</f>
        <v>40</v>
      </c>
      <c r="B41" s="3" t="s">
        <v>119</v>
      </c>
      <c r="C41" s="6" t="s">
        <v>143</v>
      </c>
      <c r="D41" s="6" t="s">
        <v>144</v>
      </c>
      <c r="E41" s="6" t="s">
        <v>145</v>
      </c>
      <c r="F41" s="6" t="s">
        <v>47</v>
      </c>
      <c r="G41" s="6" t="s">
        <v>10</v>
      </c>
      <c r="H41" s="7">
        <v>700000</v>
      </c>
      <c r="I41" s="5"/>
      <c r="J41" s="4"/>
      <c r="K41" s="8"/>
    </row>
    <row r="42" spans="1:11" ht="72.5" x14ac:dyDescent="0.35">
      <c r="A42" s="3">
        <f>SUBTOTAL(103,$D$2:D42)</f>
        <v>41</v>
      </c>
      <c r="B42" s="3" t="s">
        <v>119</v>
      </c>
      <c r="C42" s="6" t="s">
        <v>146</v>
      </c>
      <c r="D42" s="6" t="s">
        <v>147</v>
      </c>
      <c r="E42" s="6" t="s">
        <v>148</v>
      </c>
      <c r="F42" s="6" t="s">
        <v>32</v>
      </c>
      <c r="G42" s="6" t="s">
        <v>10</v>
      </c>
      <c r="H42" s="7">
        <v>630000</v>
      </c>
      <c r="I42" s="5"/>
      <c r="J42" s="4"/>
      <c r="K42" s="8"/>
    </row>
  </sheetData>
  <autoFilter ref="A1:J31" xr:uid="{188C5E87-5B77-4D3D-8A07-440C88F2120D}">
    <sortState xmlns:xlrd2="http://schemas.microsoft.com/office/spreadsheetml/2017/richdata2" ref="A2:J31">
      <sortCondition ref="G1:G31"/>
    </sortState>
  </autoFilter>
  <conditionalFormatting sqref="C1:C21">
    <cfRule type="duplicateValues" dxfId="14" priority="258"/>
    <cfRule type="duplicateValues" dxfId="13" priority="259"/>
    <cfRule type="duplicateValues" dxfId="12" priority="260"/>
    <cfRule type="duplicateValues" dxfId="11" priority="261"/>
    <cfRule type="duplicateValues" dxfId="10" priority="262"/>
  </conditionalFormatting>
  <conditionalFormatting sqref="C1:C32 C43:C1048576">
    <cfRule type="duplicateValues" dxfId="9" priority="3"/>
    <cfRule type="duplicateValues" dxfId="8" priority="5"/>
  </conditionalFormatting>
  <conditionalFormatting sqref="C22:C31">
    <cfRule type="duplicateValues" dxfId="7" priority="148"/>
    <cfRule type="duplicateValues" dxfId="6" priority="149"/>
    <cfRule type="duplicateValues" dxfId="5" priority="150"/>
    <cfRule type="duplicateValues" dxfId="4" priority="151"/>
    <cfRule type="duplicateValues" dxfId="3" priority="152"/>
  </conditionalFormatting>
  <conditionalFormatting sqref="C32">
    <cfRule type="duplicateValues" dxfId="2" priority="92"/>
  </conditionalFormatting>
  <conditionalFormatting sqref="C33:C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Id</dc:creator>
  <cp:lastModifiedBy>Dinah Gomez</cp:lastModifiedBy>
  <dcterms:created xsi:type="dcterms:W3CDTF">2026-01-08T19:08:20Z</dcterms:created>
  <dcterms:modified xsi:type="dcterms:W3CDTF">2026-02-13T04:47:09Z</dcterms:modified>
</cp:coreProperties>
</file>